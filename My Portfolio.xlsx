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de\Documents\MyGITprj\"/>
    </mc:Choice>
  </mc:AlternateContent>
  <xr:revisionPtr revIDLastSave="0" documentId="13_ncr:1_{0796747F-7769-49DA-A209-502456507E3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ortfolio-My Portfol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19" i="1"/>
  <c r="D4" i="1"/>
</calcChain>
</file>

<file path=xl/sharedStrings.xml><?xml version="1.0" encoding="utf-8"?>
<sst xmlns="http://schemas.openxmlformats.org/spreadsheetml/2006/main" count="51" uniqueCount="51">
  <si>
    <t>Symbol</t>
  </si>
  <si>
    <t>Name</t>
  </si>
  <si>
    <t>Shares</t>
  </si>
  <si>
    <t>AMC</t>
  </si>
  <si>
    <t>AMC Entertainment Holdings, Inc</t>
  </si>
  <si>
    <t>GME</t>
  </si>
  <si>
    <t>GameStop Corporation</t>
  </si>
  <si>
    <t>MVIS</t>
  </si>
  <si>
    <t>Microvision, Inc.</t>
  </si>
  <si>
    <t>DIS</t>
  </si>
  <si>
    <t>Walt Disney Company (The)</t>
  </si>
  <si>
    <t>NVDA</t>
  </si>
  <si>
    <t>NVIDIA Corporation</t>
  </si>
  <si>
    <t>ARM</t>
  </si>
  <si>
    <t>Arm Holdings plc</t>
  </si>
  <si>
    <t>AMD</t>
  </si>
  <si>
    <t>Advanced Micro Devices, Inc.</t>
  </si>
  <si>
    <t>BRK-B</t>
  </si>
  <si>
    <t>Berkshire Hathaway Inc. New</t>
  </si>
  <si>
    <t>IFX.DE</t>
  </si>
  <si>
    <t>INFINEON TECH.AG NA O.N.</t>
  </si>
  <si>
    <t>0P0001HH0U.F</t>
  </si>
  <si>
    <t xml:space="preserve">Mediolanum Best Brands Chinese </t>
  </si>
  <si>
    <t>IE000XZSV718.SG</t>
  </si>
  <si>
    <t>SPDR S&amp;P 500 UCITS ETF (Acc)</t>
  </si>
  <si>
    <t>IE00BK5BQT80.SG</t>
  </si>
  <si>
    <t>Vanguard FTSE All-World UCITS E</t>
  </si>
  <si>
    <t>IE00BFMXXD54.SG</t>
  </si>
  <si>
    <t>Vanguard S&amp;P 500 UCITS ETF USD</t>
  </si>
  <si>
    <t>BTC-EUR</t>
  </si>
  <si>
    <t>Bitcoin EUR</t>
  </si>
  <si>
    <t>ETH-EUR</t>
  </si>
  <si>
    <t>Ethereum EUR</t>
  </si>
  <si>
    <t>DOGE-EUR</t>
  </si>
  <si>
    <t>Dogecoin EUR</t>
  </si>
  <si>
    <t>BNB-EUR</t>
  </si>
  <si>
    <t>BNB EUR</t>
  </si>
  <si>
    <t>ADA-EUR</t>
  </si>
  <si>
    <t>Cardano EUR</t>
  </si>
  <si>
    <t>Share cost (USD)</t>
  </si>
  <si>
    <t>Share cost (EUR)</t>
  </si>
  <si>
    <t>ETH-USD</t>
  </si>
  <si>
    <t>Ethereum USD</t>
  </si>
  <si>
    <t>Solana USD</t>
  </si>
  <si>
    <t>SOL-USD</t>
  </si>
  <si>
    <t>ADA-USD</t>
  </si>
  <si>
    <t>Cardano USD</t>
  </si>
  <si>
    <t>SHIB-USD</t>
  </si>
  <si>
    <t>Shiba Inu USD</t>
  </si>
  <si>
    <t>SHIB-EUR</t>
  </si>
  <si>
    <t>Shiba Inu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</si>
</sst>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activeCell="B16" sqref="B16"/>
    </sheetView>
  </sheetViews>
  <sheetFormatPr defaultRowHeight="15" x14ac:dyDescent="0.25"/>
  <cols>
    <col min="1" max="1" width="15" customWidth="1"/>
    <col min="2" max="2" width="32.85546875" customWidth="1"/>
    <col min="3" max="3" width="18.28515625" customWidth="1"/>
    <col min="4" max="5" width="15.28515625" customWidth="1"/>
    <col min="6" max="6" width="17.42578125" customWidth="1"/>
    <col min="7" max="7" width="22.5703125" customWidth="1"/>
    <col min="8" max="8" width="18.85546875" customWidth="1"/>
    <col min="9" max="9" width="22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39</v>
      </c>
      <c r="E1" t="s">
        <v>40</v>
      </c>
      <c r="R1" s="1"/>
      <c r="S1" s="1"/>
      <c r="T1" s="1"/>
    </row>
    <row r="2" spans="1:21" x14ac:dyDescent="0.25">
      <c r="A2" t="s">
        <v>3</v>
      </c>
      <c r="B2" t="s">
        <v>4</v>
      </c>
      <c r="C2">
        <v>36.581949999999999</v>
      </c>
      <c r="D2">
        <v>38.5</v>
      </c>
      <c r="J2" s="2"/>
      <c r="U2" s="2"/>
    </row>
    <row r="3" spans="1:21" x14ac:dyDescent="0.25">
      <c r="A3" t="s">
        <v>5</v>
      </c>
      <c r="B3" t="s">
        <v>6</v>
      </c>
      <c r="C3">
        <f>166.12049+40</f>
        <v>206.12048999999999</v>
      </c>
      <c r="D3">
        <f>((166.12409*29.69)+(41.51*40))/$C$3</f>
        <v>31.984322529506894</v>
      </c>
      <c r="J3" s="2"/>
      <c r="U3" s="2"/>
    </row>
    <row r="4" spans="1:21" x14ac:dyDescent="0.25">
      <c r="A4" t="s">
        <v>7</v>
      </c>
      <c r="B4" t="s">
        <v>8</v>
      </c>
      <c r="C4">
        <v>402.67858000000001</v>
      </c>
      <c r="D4">
        <f>((9.29*302)+(3.85385*100.67858))/$C$4</f>
        <v>7.9308418777403054</v>
      </c>
      <c r="J4" s="2"/>
      <c r="U4" s="2"/>
    </row>
    <row r="5" spans="1:21" x14ac:dyDescent="0.25">
      <c r="A5" t="s">
        <v>9</v>
      </c>
      <c r="B5" t="s">
        <v>10</v>
      </c>
      <c r="C5">
        <v>3.5</v>
      </c>
      <c r="D5">
        <v>144.99</v>
      </c>
      <c r="J5" s="2"/>
      <c r="U5" s="2"/>
    </row>
    <row r="6" spans="1:21" x14ac:dyDescent="0.25">
      <c r="A6" t="s">
        <v>11</v>
      </c>
      <c r="B6" t="s">
        <v>12</v>
      </c>
      <c r="C6">
        <v>0.29310000000000003</v>
      </c>
      <c r="D6">
        <v>85.283010000000004</v>
      </c>
      <c r="J6" s="2"/>
      <c r="U6" s="2"/>
    </row>
    <row r="7" spans="1:21" x14ac:dyDescent="0.25">
      <c r="A7" t="s">
        <v>13</v>
      </c>
      <c r="B7" t="s">
        <v>14</v>
      </c>
      <c r="C7">
        <v>0.16925999999999999</v>
      </c>
      <c r="D7">
        <v>147.69999999999999</v>
      </c>
      <c r="J7" s="2"/>
      <c r="U7" s="2"/>
    </row>
    <row r="8" spans="1:21" x14ac:dyDescent="0.25">
      <c r="A8" t="s">
        <v>15</v>
      </c>
      <c r="B8" t="s">
        <v>16</v>
      </c>
      <c r="C8">
        <v>0.1191</v>
      </c>
      <c r="D8">
        <v>209.9</v>
      </c>
      <c r="J8" s="2"/>
      <c r="U8" s="2"/>
    </row>
    <row r="9" spans="1:21" x14ac:dyDescent="0.25">
      <c r="A9" t="s">
        <v>17</v>
      </c>
      <c r="B9" t="s">
        <v>18</v>
      </c>
      <c r="C9">
        <v>1.5130300000000001</v>
      </c>
      <c r="D9">
        <v>363.51</v>
      </c>
      <c r="J9" s="2"/>
      <c r="U9" s="2"/>
    </row>
    <row r="10" spans="1:21" x14ac:dyDescent="0.25">
      <c r="A10" t="s">
        <v>19</v>
      </c>
      <c r="B10" t="s">
        <v>20</v>
      </c>
      <c r="C10">
        <v>17.523</v>
      </c>
      <c r="E10">
        <v>39.229999999999997</v>
      </c>
      <c r="J10" s="2"/>
      <c r="U10" s="2"/>
    </row>
    <row r="11" spans="1:21" x14ac:dyDescent="0.25">
      <c r="A11" t="s">
        <v>21</v>
      </c>
      <c r="B11" t="s">
        <v>22</v>
      </c>
      <c r="C11">
        <v>1139.039</v>
      </c>
      <c r="E11">
        <v>5.07</v>
      </c>
      <c r="J11" s="2"/>
      <c r="U11" s="2"/>
    </row>
    <row r="12" spans="1:21" x14ac:dyDescent="0.25">
      <c r="A12" t="s">
        <v>23</v>
      </c>
      <c r="B12" t="s">
        <v>24</v>
      </c>
      <c r="C12">
        <v>409</v>
      </c>
      <c r="E12">
        <v>12.4</v>
      </c>
      <c r="J12" s="2"/>
      <c r="U12" s="2"/>
    </row>
    <row r="13" spans="1:21" x14ac:dyDescent="0.25">
      <c r="A13" t="s">
        <v>25</v>
      </c>
      <c r="B13" t="s">
        <v>26</v>
      </c>
      <c r="C13">
        <v>109</v>
      </c>
      <c r="E13">
        <v>120.78</v>
      </c>
      <c r="J13" s="2"/>
      <c r="U13" s="2"/>
    </row>
    <row r="14" spans="1:21" x14ac:dyDescent="0.25">
      <c r="A14" t="s">
        <v>27</v>
      </c>
      <c r="B14" t="s">
        <v>28</v>
      </c>
      <c r="C14">
        <v>38</v>
      </c>
      <c r="E14">
        <v>94.17</v>
      </c>
      <c r="J14" s="2"/>
      <c r="U14" s="2"/>
    </row>
    <row r="15" spans="1:21" x14ac:dyDescent="0.25">
      <c r="A15" t="s">
        <v>29</v>
      </c>
      <c r="B15" t="s">
        <v>30</v>
      </c>
      <c r="C15">
        <v>1.9847239999999999E-2</v>
      </c>
      <c r="E15">
        <v>28296.58</v>
      </c>
      <c r="J15" s="2"/>
      <c r="U15" s="2"/>
    </row>
    <row r="16" spans="1:21" x14ac:dyDescent="0.25">
      <c r="A16" t="s">
        <v>41</v>
      </c>
      <c r="B16" t="s">
        <v>42</v>
      </c>
      <c r="C16">
        <v>7.0000000000000001E-3</v>
      </c>
      <c r="D16">
        <v>3580.5374000000002</v>
      </c>
      <c r="J16" s="2"/>
      <c r="U16" s="2"/>
    </row>
    <row r="17" spans="1:21" x14ac:dyDescent="0.25">
      <c r="A17" t="s">
        <v>31</v>
      </c>
      <c r="B17" t="s">
        <v>32</v>
      </c>
      <c r="C17">
        <v>3.4809430000000002E-2</v>
      </c>
      <c r="E17">
        <v>2181.61</v>
      </c>
      <c r="J17" s="2"/>
      <c r="U17" s="2"/>
    </row>
    <row r="18" spans="1:21" x14ac:dyDescent="0.25">
      <c r="A18" t="s">
        <v>33</v>
      </c>
      <c r="B18" t="s">
        <v>34</v>
      </c>
      <c r="C18">
        <v>959.39</v>
      </c>
      <c r="E18">
        <v>7.9530000000000003E-2</v>
      </c>
      <c r="J18" s="2"/>
      <c r="U18" s="2"/>
    </row>
    <row r="19" spans="1:21" x14ac:dyDescent="0.25">
      <c r="A19" t="s">
        <v>35</v>
      </c>
      <c r="B19" t="s">
        <v>36</v>
      </c>
      <c r="C19">
        <v>9.4500000000000001E-2</v>
      </c>
      <c r="E19">
        <f>337.54</f>
        <v>337.54</v>
      </c>
      <c r="J19" s="2"/>
      <c r="U19" s="2"/>
    </row>
    <row r="20" spans="1:21" x14ac:dyDescent="0.25">
      <c r="A20" t="s">
        <v>45</v>
      </c>
      <c r="B20" t="s">
        <v>46</v>
      </c>
      <c r="C20">
        <v>121.73515</v>
      </c>
      <c r="D20">
        <v>1.1332800000000001</v>
      </c>
      <c r="J20" s="2"/>
      <c r="U20" s="2"/>
    </row>
    <row r="21" spans="1:21" x14ac:dyDescent="0.25">
      <c r="A21" t="s">
        <v>37</v>
      </c>
      <c r="B21" t="s">
        <v>38</v>
      </c>
      <c r="C21">
        <v>23.5</v>
      </c>
      <c r="E21">
        <v>1.1384000000000001</v>
      </c>
      <c r="J21" s="2"/>
      <c r="U21" s="2"/>
    </row>
    <row r="22" spans="1:21" x14ac:dyDescent="0.25">
      <c r="A22" t="s">
        <v>47</v>
      </c>
      <c r="B22" t="s">
        <v>48</v>
      </c>
      <c r="C22">
        <v>3432927.02</v>
      </c>
      <c r="E22">
        <v>6.2500000000000003E-6</v>
      </c>
      <c r="J22" s="2"/>
      <c r="U22" s="2"/>
    </row>
    <row r="23" spans="1:21" x14ac:dyDescent="0.25">
      <c r="A23" t="s">
        <v>49</v>
      </c>
      <c r="B23" t="s">
        <v>50</v>
      </c>
      <c r="C23">
        <v>1000000</v>
      </c>
      <c r="D23">
        <v>2.7480000000000001E-5</v>
      </c>
      <c r="J23" s="2"/>
      <c r="U23" s="2"/>
    </row>
    <row r="24" spans="1:21" x14ac:dyDescent="0.25">
      <c r="A24" t="s">
        <v>44</v>
      </c>
      <c r="B24" t="s">
        <v>43</v>
      </c>
      <c r="C24">
        <v>0.18679999999999999</v>
      </c>
      <c r="E24">
        <v>133.8621</v>
      </c>
      <c r="J24" s="2"/>
      <c r="U24" s="2"/>
    </row>
    <row r="25" spans="1:21" x14ac:dyDescent="0.25">
      <c r="J25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Portfolio-My 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Davidde Giuseppe (DC ATV SC D DD)</cp:lastModifiedBy>
  <dcterms:created xsi:type="dcterms:W3CDTF">2024-06-21T09:08:44Z</dcterms:created>
  <dcterms:modified xsi:type="dcterms:W3CDTF">2024-06-21T09:52:36Z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2024-06-21T09:52:35Z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0c31eab0-d65b-450c-a870-2f345ae82a47</vt:lpwstr>
  </property>
  <property fmtid="{D5CDD505-2E9C-101B-9397-08002B2CF9AE}" pid="8" name="MSIP_Label_a15a25aa-e944-415d-b7a7-40f6b9180b6b_ContentBits">
    <vt:lpwstr>0</vt:lpwstr>
  </property>
</Properties>
</file>